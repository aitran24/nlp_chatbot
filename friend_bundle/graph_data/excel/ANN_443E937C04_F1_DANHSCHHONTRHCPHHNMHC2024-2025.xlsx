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ANH I\NAM 2025\THU HỌC PHÍ 2025\"/>
    </mc:Choice>
  </mc:AlternateContent>
  <xr:revisionPtr revIDLastSave="0" documentId="8_{12588C44-815E-465A-8529-17CB72463EC1}" xr6:coauthVersionLast="47" xr6:coauthVersionMax="47" xr10:uidLastSave="{00000000-0000-0000-0000-000000000000}"/>
  <bookViews>
    <workbookView xWindow="-108" yWindow="-108" windowWidth="23256" windowHeight="12456" xr2:uid="{02CBA9F6-D415-4D24-AAAE-0CAB32C502E1}"/>
  </bookViews>
  <sheets>
    <sheet name="Hoantien" sheetId="1" r:id="rId1"/>
  </sheets>
  <definedNames>
    <definedName name="_xlnm._FilterDatabase" localSheetId="0" hidden="1">Hoantien!$B$6:$O$27</definedName>
    <definedName name="_xlnm.Print_Titles" localSheetId="0">Hoantien!$6:$6</definedName>
    <definedName name="_xlnm.Print_Area" localSheetId="0">Hoantien!$B$1:$O$35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H24" i="1"/>
  <c r="I24" i="1"/>
</calcChain>
</file>

<file path=xl/sharedStrings.xml><?xml version="1.0" encoding="utf-8"?>
<sst xmlns="http://schemas.openxmlformats.org/spreadsheetml/2006/main" count="66" uniqueCount="50">
  <si>
    <t xml:space="preserve"> </t>
  </si>
  <si>
    <t>Tổng</t>
  </si>
  <si>
    <t>SV nộp dư học phí</t>
  </si>
  <si>
    <t>23X1B</t>
  </si>
  <si>
    <t>Lê Thúc Bảo Nguyên</t>
  </si>
  <si>
    <t xml:space="preserve">SV được hủy học phần ở học kỳ hè vì bị ốm  </t>
  </si>
  <si>
    <t>22CDT1</t>
  </si>
  <si>
    <t>Lê Hoàng Nhiệm</t>
  </si>
  <si>
    <t>21NCLC</t>
  </si>
  <si>
    <t>Nguyễn Trung Hoài Nam</t>
  </si>
  <si>
    <t>23T_KHDL2</t>
  </si>
  <si>
    <t>Phạm Công Đức</t>
  </si>
  <si>
    <t>21TCLC_Nhat2</t>
  </si>
  <si>
    <t>Hồ Xuân Thanh</t>
  </si>
  <si>
    <t>22ECE</t>
  </si>
  <si>
    <t>Phan Minh Phương</t>
  </si>
  <si>
    <t>23KX3</t>
  </si>
  <si>
    <t>Nguyễn Hồng Phúc</t>
  </si>
  <si>
    <t>22MT</t>
  </si>
  <si>
    <t>Lê Phước Anh Phi</t>
  </si>
  <si>
    <t>20X1CLC1</t>
  </si>
  <si>
    <t>Trần Minh Quang</t>
  </si>
  <si>
    <t>20X3CLC</t>
  </si>
  <si>
    <t>Phạm Hồng Quân</t>
  </si>
  <si>
    <t>20H2CLC</t>
  </si>
  <si>
    <t>Võ Quang Nhân</t>
  </si>
  <si>
    <t>22DT3</t>
  </si>
  <si>
    <t>Hồ Thanh Khánh Nguyên</t>
  </si>
  <si>
    <t>22D5</t>
  </si>
  <si>
    <t>Hà Nhật Tân</t>
  </si>
  <si>
    <t>21DCLC3</t>
  </si>
  <si>
    <t>Nguyễn Thanh Nhân</t>
  </si>
  <si>
    <t>22C4A</t>
  </si>
  <si>
    <t>Hà Công Nhật Khải</t>
  </si>
  <si>
    <t>23C1B</t>
  </si>
  <si>
    <t>Đỗ Ngọc Minh Sang</t>
  </si>
  <si>
    <t>Trần Hồng Huy</t>
  </si>
  <si>
    <t>Ghi chú</t>
  </si>
  <si>
    <t>Học phí hoàn trả</t>
  </si>
  <si>
    <t>Học phí đã nộp</t>
  </si>
  <si>
    <t>Học phí phải nộp</t>
  </si>
  <si>
    <t>Ngày sinh</t>
  </si>
  <si>
    <t>Lớp</t>
  </si>
  <si>
    <t>Họ và tên</t>
  </si>
  <si>
    <t>Mã SV</t>
  </si>
  <si>
    <t>STT</t>
  </si>
  <si>
    <r>
      <t xml:space="preserve">                                           </t>
    </r>
    <r>
      <rPr>
        <sz val="12"/>
        <color theme="1"/>
        <rFont val="Times New Roman"/>
        <family val="1"/>
      </rPr>
      <t>Thời điểm</t>
    </r>
    <r>
      <rPr>
        <b/>
        <sz val="12"/>
        <color theme="1"/>
        <rFont val="Times New Roman"/>
        <family val="1"/>
      </rPr>
      <t>: Theo dữ liệu đã nộp học phí tới hết ngày 26/9/2025</t>
    </r>
  </si>
  <si>
    <t xml:space="preserve">                                                                 DANH SÁCH HOÀN TRẢ TIỀN HỌC PHÍ HỌC KỲ HÈ NĂM HỌC 2024-2025</t>
  </si>
  <si>
    <t>TRƯỜNG ĐẠI HỌC BÁCH KHOA</t>
  </si>
  <si>
    <t>ĐẠI HỌC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</si>
</sst>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2" fillId="0" borderId="0" xfId="2" applyFont="1"/>
    <xf numFmtId="165" fontId="2" fillId="0" borderId="0" xfId="1" applyNumberFormat="1" applyFont="1" applyAlignment="1"/>
    <xf numFmtId="0" fontId="2" fillId="0" borderId="0" xfId="2" applyFont="1" applyAlignment="1">
      <alignment horizontal="center"/>
    </xf>
    <xf numFmtId="0" fontId="4" fillId="0" borderId="0" xfId="2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14" fontId="2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0" applyFont="1"/>
    <xf numFmtId="0" fontId="2" fillId="0" borderId="0" xfId="2" applyFont="1" applyAlignment="1">
      <alignment horizontal="center" vertical="center"/>
    </xf>
    <xf numFmtId="3" fontId="7" fillId="0" borderId="2" xfId="2" applyNumberFormat="1" applyFont="1" applyBorder="1" applyAlignment="1">
      <alignment horizontal="center"/>
    </xf>
    <xf numFmtId="3" fontId="8" fillId="0" borderId="2" xfId="2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vertical="center"/>
    </xf>
    <xf numFmtId="0" fontId="2" fillId="0" borderId="0" xfId="2" applyFont="1" applyAlignment="1">
      <alignment vertical="center"/>
    </xf>
    <xf numFmtId="3" fontId="2" fillId="0" borderId="0" xfId="2" applyNumberFormat="1" applyFont="1" applyAlignment="1">
      <alignment vertical="center"/>
    </xf>
    <xf numFmtId="0" fontId="2" fillId="0" borderId="2" xfId="2" applyFont="1" applyBorder="1" applyAlignment="1">
      <alignment horizontal="center" vertical="center" wrapText="1"/>
    </xf>
    <xf numFmtId="3" fontId="7" fillId="2" borderId="2" xfId="2" applyNumberFormat="1" applyFont="1" applyFill="1" applyBorder="1" applyAlignment="1">
      <alignment horizontal="center" vertical="center" wrapText="1"/>
    </xf>
    <xf numFmtId="165" fontId="2" fillId="0" borderId="2" xfId="1" applyNumberFormat="1" applyFont="1" applyBorder="1" applyAlignment="1">
      <alignment vertical="center" wrapText="1"/>
    </xf>
    <xf numFmtId="14" fontId="2" fillId="0" borderId="2" xfId="2" applyNumberFormat="1" applyFont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vertical="center" wrapText="1"/>
    </xf>
    <xf numFmtId="3" fontId="8" fillId="2" borderId="2" xfId="2" applyNumberFormat="1" applyFont="1" applyFill="1" applyBorder="1" applyAlignment="1">
      <alignment horizontal="center" vertical="center" wrapText="1"/>
    </xf>
    <xf numFmtId="49" fontId="4" fillId="0" borderId="2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2" borderId="0" xfId="2" applyFont="1" applyFill="1" applyAlignment="1" applyProtection="1">
      <alignment horizontal="center" wrapText="1"/>
      <protection locked="0"/>
    </xf>
    <xf numFmtId="3" fontId="8" fillId="2" borderId="0" xfId="2" applyNumberFormat="1" applyFont="1" applyFill="1" applyAlignment="1" applyProtection="1">
      <alignment horizontal="left" vertical="center" wrapText="1"/>
      <protection locked="0"/>
    </xf>
    <xf numFmtId="165" fontId="2" fillId="2" borderId="0" xfId="1" applyNumberFormat="1" applyFont="1" applyFill="1" applyAlignment="1" applyProtection="1">
      <protection locked="0"/>
    </xf>
    <xf numFmtId="49" fontId="2" fillId="2" borderId="0" xfId="2" applyNumberFormat="1" applyFont="1" applyFill="1" applyAlignment="1" applyProtection="1">
      <alignment horizontal="center"/>
      <protection locked="0"/>
    </xf>
    <xf numFmtId="49" fontId="2" fillId="2" borderId="0" xfId="2" applyNumberFormat="1" applyFont="1" applyFill="1" applyAlignment="1" applyProtection="1">
      <alignment wrapText="1"/>
      <protection locked="0"/>
    </xf>
    <xf numFmtId="0" fontId="2" fillId="2" borderId="0" xfId="2" applyFont="1" applyFill="1" applyAlignment="1" applyProtection="1">
      <alignment horizontal="center" wrapText="1"/>
      <protection locked="0"/>
    </xf>
    <xf numFmtId="3" fontId="2" fillId="2" borderId="0" xfId="2" applyNumberFormat="1" applyFont="1" applyFill="1" applyAlignment="1" applyProtection="1">
      <alignment wrapText="1"/>
      <protection locked="0"/>
    </xf>
    <xf numFmtId="0" fontId="4" fillId="0" borderId="0" xfId="2" applyFont="1" applyAlignment="1">
      <alignment horizontal="center" wrapText="1"/>
    </xf>
    <xf numFmtId="0" fontId="2" fillId="2" borderId="0" xfId="2" applyFont="1" applyFill="1" applyAlignment="1" applyProtection="1">
      <alignment horizontal="center" wrapText="1"/>
      <protection locked="0"/>
    </xf>
    <xf numFmtId="0" fontId="9" fillId="2" borderId="0" xfId="2" applyFont="1" applyFill="1" applyAlignment="1" applyProtection="1">
      <alignment horizontal="center" wrapText="1"/>
      <protection locked="0"/>
    </xf>
    <xf numFmtId="0" fontId="4" fillId="2" borderId="0" xfId="2" applyFont="1" applyFill="1" applyAlignment="1" applyProtection="1">
      <alignment horizontal="left" wrapText="1"/>
      <protection locked="0"/>
    </xf>
    <xf numFmtId="0" fontId="4" fillId="2" borderId="0" xfId="2" applyFont="1" applyFill="1" applyAlignment="1" applyProtection="1">
      <alignment horizontal="left" vertical="center" wrapText="1"/>
      <protection locked="0"/>
    </xf>
    <xf numFmtId="0" fontId="5" fillId="0" borderId="1" xfId="0" applyFont="1" applyBorder="1" applyAlignment="1">
      <alignment horizontal="center" wrapText="1"/>
    </xf>
  </cellXfs>
  <cellStyles count="3">
    <cellStyle name="Bình thường" xfId="0" builtinId="0"/>
    <cellStyle name="Dấu phẩy" xfId="1" builtinId="3"/>
    <cellStyle name="Normal 2" xfId="2" xr:uid="{B11D9040-D5B9-4AF9-9614-0CEF63ACC44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D5C8-D9E8-44E2-BFFB-7FB7D39923DA}">
  <dimension ref="B1:O35"/>
  <sheetViews>
    <sheetView tabSelected="1" zoomScaleNormal="100" workbookViewId="0">
      <selection activeCell="L6" sqref="L6"/>
    </sheetView>
  </sheetViews>
  <sheetFormatPr defaultColWidth="7.8984375" defaultRowHeight="15.6" x14ac:dyDescent="0.3"/>
  <cols>
    <col min="1" max="1" width="7.8984375" style="1"/>
    <col min="2" max="2" width="4.8984375" style="1" customWidth="1"/>
    <col min="3" max="3" width="13.59765625" style="1" customWidth="1"/>
    <col min="4" max="4" width="22.19921875" style="1" customWidth="1"/>
    <col min="5" max="5" width="14.19921875" style="1" customWidth="1"/>
    <col min="6" max="6" width="13.3984375" style="1" customWidth="1"/>
    <col min="7" max="7" width="15.796875" style="3" customWidth="1"/>
    <col min="8" max="8" width="16.3984375" style="2" customWidth="1"/>
    <col min="9" max="9" width="17.09765625" style="1" customWidth="1"/>
    <col min="10" max="10" width="19.5" style="1" customWidth="1"/>
    <col min="11" max="11" width="15.69921875" style="1" customWidth="1"/>
    <col min="12" max="12" width="18.69921875" style="1" customWidth="1"/>
    <col min="13" max="13" width="14.19921875" style="1" customWidth="1"/>
    <col min="14" max="14" width="21.69921875" style="1" customWidth="1"/>
    <col min="15" max="15" width="9.69921875" style="1" customWidth="1"/>
    <col min="16" max="16" width="8.09765625" style="1" customWidth="1"/>
    <col min="17" max="16384" width="7.8984375" style="1"/>
  </cols>
  <sheetData>
    <row r="1" spans="2:15" ht="15.75" customHeight="1" x14ac:dyDescent="0.3">
      <c r="B1" s="38" t="s">
        <v>49</v>
      </c>
      <c r="C1" s="38"/>
      <c r="D1" s="38"/>
      <c r="E1" s="34"/>
      <c r="F1" s="34"/>
      <c r="G1" s="33"/>
      <c r="H1" s="32"/>
      <c r="I1" s="36"/>
      <c r="J1" s="36"/>
      <c r="K1" s="36"/>
    </row>
    <row r="2" spans="2:15" ht="15.75" customHeight="1" x14ac:dyDescent="0.3">
      <c r="B2" s="39" t="s">
        <v>48</v>
      </c>
      <c r="C2" s="39"/>
      <c r="D2" s="39"/>
      <c r="E2" s="34"/>
      <c r="F2" s="34"/>
      <c r="G2" s="33"/>
      <c r="H2" s="32"/>
      <c r="I2" s="31"/>
      <c r="J2" s="31"/>
      <c r="K2" s="31"/>
    </row>
    <row r="3" spans="2:15" x14ac:dyDescent="0.3">
      <c r="B3" s="35"/>
      <c r="C3" s="35"/>
      <c r="D3" s="35"/>
      <c r="E3" s="34"/>
      <c r="F3" s="34"/>
      <c r="G3" s="33"/>
      <c r="H3" s="32"/>
      <c r="I3" s="31"/>
      <c r="J3" s="31"/>
      <c r="K3" s="31"/>
    </row>
    <row r="4" spans="2:15" ht="15.75" customHeight="1" x14ac:dyDescent="0.3">
      <c r="B4" s="40" t="s">
        <v>47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2:15" ht="31.5" customHeight="1" x14ac:dyDescent="0.3">
      <c r="B5" s="30"/>
      <c r="C5" s="30"/>
      <c r="D5" s="41" t="s">
        <v>46</v>
      </c>
      <c r="E5" s="41"/>
      <c r="F5" s="41"/>
      <c r="G5" s="41"/>
      <c r="H5" s="41"/>
      <c r="I5" s="41"/>
      <c r="J5" s="41"/>
      <c r="K5" s="41"/>
      <c r="L5" s="41"/>
      <c r="M5" s="41"/>
      <c r="N5" s="30"/>
      <c r="O5" s="30"/>
    </row>
    <row r="6" spans="2:15" s="19" customFormat="1" ht="28.2" customHeight="1" x14ac:dyDescent="0.3">
      <c r="B6" s="29" t="s">
        <v>45</v>
      </c>
      <c r="C6" s="29" t="s">
        <v>44</v>
      </c>
      <c r="D6" s="29" t="s">
        <v>43</v>
      </c>
      <c r="E6" s="28" t="s">
        <v>42</v>
      </c>
      <c r="F6" s="28" t="s">
        <v>41</v>
      </c>
      <c r="G6" s="28" t="s">
        <v>40</v>
      </c>
      <c r="H6" s="15" t="s">
        <v>39</v>
      </c>
      <c r="I6" s="27" t="s">
        <v>38</v>
      </c>
      <c r="J6" s="29" t="s">
        <v>37</v>
      </c>
    </row>
    <row r="7" spans="2:15" s="19" customFormat="1" x14ac:dyDescent="0.3">
      <c r="B7" s="17">
        <v>1</v>
      </c>
      <c r="C7" s="17">
        <v>101230073</v>
      </c>
      <c r="D7" s="17" t="s">
        <v>36</v>
      </c>
      <c r="E7" s="25" t="s">
        <v>34</v>
      </c>
      <c r="F7" s="24">
        <v>38650</v>
      </c>
      <c r="G7" s="26">
        <v>0</v>
      </c>
      <c r="H7" s="23">
        <v>1950000</v>
      </c>
      <c r="I7" s="22">
        <v>1950000</v>
      </c>
      <c r="J7" s="21" t="s">
        <v>2</v>
      </c>
      <c r="K7" s="20"/>
    </row>
    <row r="8" spans="2:15" s="19" customFormat="1" x14ac:dyDescent="0.3">
      <c r="B8" s="17">
        <v>2</v>
      </c>
      <c r="C8" s="17">
        <v>101230091</v>
      </c>
      <c r="D8" s="17" t="s">
        <v>35</v>
      </c>
      <c r="E8" s="25" t="s">
        <v>34</v>
      </c>
      <c r="F8" s="24">
        <v>38682</v>
      </c>
      <c r="G8" s="23">
        <v>1170000</v>
      </c>
      <c r="H8" s="23">
        <v>3120000</v>
      </c>
      <c r="I8" s="22">
        <v>1950000</v>
      </c>
      <c r="J8" s="21" t="s">
        <v>2</v>
      </c>
      <c r="K8" s="20"/>
    </row>
    <row r="9" spans="2:15" s="19" customFormat="1" x14ac:dyDescent="0.3">
      <c r="B9" s="17">
        <v>3</v>
      </c>
      <c r="C9" s="17">
        <v>103220019</v>
      </c>
      <c r="D9" s="17" t="s">
        <v>33</v>
      </c>
      <c r="E9" s="25" t="s">
        <v>32</v>
      </c>
      <c r="F9" s="24">
        <v>38016</v>
      </c>
      <c r="G9" s="23">
        <v>2340000</v>
      </c>
      <c r="H9" s="23">
        <v>2350000</v>
      </c>
      <c r="I9" s="22">
        <v>10000</v>
      </c>
      <c r="J9" s="21" t="s">
        <v>2</v>
      </c>
      <c r="K9" s="20"/>
    </row>
    <row r="10" spans="2:15" s="19" customFormat="1" x14ac:dyDescent="0.3">
      <c r="B10" s="17">
        <v>4</v>
      </c>
      <c r="C10" s="17">
        <v>105210244</v>
      </c>
      <c r="D10" s="17" t="s">
        <v>31</v>
      </c>
      <c r="E10" s="25" t="s">
        <v>30</v>
      </c>
      <c r="F10" s="24">
        <v>37717</v>
      </c>
      <c r="G10" s="23">
        <v>5070000</v>
      </c>
      <c r="H10" s="23">
        <v>5080000</v>
      </c>
      <c r="I10" s="22">
        <v>10000</v>
      </c>
      <c r="J10" s="21" t="s">
        <v>2</v>
      </c>
      <c r="K10" s="20"/>
    </row>
    <row r="11" spans="2:15" s="19" customFormat="1" x14ac:dyDescent="0.3">
      <c r="B11" s="17">
        <v>5</v>
      </c>
      <c r="C11" s="17">
        <v>105220215</v>
      </c>
      <c r="D11" s="17" t="s">
        <v>29</v>
      </c>
      <c r="E11" s="25" t="s">
        <v>28</v>
      </c>
      <c r="F11" s="24">
        <v>38122</v>
      </c>
      <c r="G11" s="23">
        <v>3120000</v>
      </c>
      <c r="H11" s="23">
        <v>3200000</v>
      </c>
      <c r="I11" s="22">
        <v>80000</v>
      </c>
      <c r="J11" s="21" t="s">
        <v>2</v>
      </c>
      <c r="K11" s="20"/>
    </row>
    <row r="12" spans="2:15" s="19" customFormat="1" x14ac:dyDescent="0.3">
      <c r="B12" s="17">
        <v>6</v>
      </c>
      <c r="C12" s="17">
        <v>106220105</v>
      </c>
      <c r="D12" s="17" t="s">
        <v>27</v>
      </c>
      <c r="E12" s="25" t="s">
        <v>26</v>
      </c>
      <c r="F12" s="24">
        <v>38275</v>
      </c>
      <c r="G12" s="26">
        <v>0</v>
      </c>
      <c r="H12" s="23">
        <v>3900000</v>
      </c>
      <c r="I12" s="22">
        <v>3900000</v>
      </c>
      <c r="J12" s="21" t="s">
        <v>2</v>
      </c>
      <c r="K12" s="20"/>
    </row>
    <row r="13" spans="2:15" s="19" customFormat="1" x14ac:dyDescent="0.3">
      <c r="B13" s="17">
        <v>7</v>
      </c>
      <c r="C13" s="17">
        <v>107200118</v>
      </c>
      <c r="D13" s="17" t="s">
        <v>25</v>
      </c>
      <c r="E13" s="25" t="s">
        <v>24</v>
      </c>
      <c r="F13" s="24">
        <v>37358</v>
      </c>
      <c r="G13" s="23">
        <v>1690000</v>
      </c>
      <c r="H13" s="23">
        <v>3380000</v>
      </c>
      <c r="I13" s="22">
        <v>1690000</v>
      </c>
      <c r="J13" s="21" t="s">
        <v>2</v>
      </c>
      <c r="K13" s="20"/>
    </row>
    <row r="14" spans="2:15" s="19" customFormat="1" x14ac:dyDescent="0.3">
      <c r="B14" s="17">
        <v>8</v>
      </c>
      <c r="C14" s="17">
        <v>109200166</v>
      </c>
      <c r="D14" s="17" t="s">
        <v>23</v>
      </c>
      <c r="E14" s="25" t="s">
        <v>22</v>
      </c>
      <c r="F14" s="24">
        <v>37279</v>
      </c>
      <c r="G14" s="26">
        <v>0</v>
      </c>
      <c r="H14" s="23">
        <v>5915000</v>
      </c>
      <c r="I14" s="22">
        <v>5915000</v>
      </c>
      <c r="J14" s="21" t="s">
        <v>2</v>
      </c>
      <c r="K14" s="20"/>
    </row>
    <row r="15" spans="2:15" s="19" customFormat="1" x14ac:dyDescent="0.3">
      <c r="B15" s="17">
        <v>9</v>
      </c>
      <c r="C15" s="17">
        <v>110200115</v>
      </c>
      <c r="D15" s="17" t="s">
        <v>21</v>
      </c>
      <c r="E15" s="25" t="s">
        <v>20</v>
      </c>
      <c r="F15" s="24">
        <v>37457</v>
      </c>
      <c r="G15" s="23">
        <v>3120000</v>
      </c>
      <c r="H15" s="23">
        <v>4810000</v>
      </c>
      <c r="I15" s="22">
        <v>1690000</v>
      </c>
      <c r="J15" s="21" t="s">
        <v>2</v>
      </c>
      <c r="K15" s="20"/>
    </row>
    <row r="16" spans="2:15" s="19" customFormat="1" x14ac:dyDescent="0.3">
      <c r="B16" s="17">
        <v>10</v>
      </c>
      <c r="C16" s="17">
        <v>117220014</v>
      </c>
      <c r="D16" s="17" t="s">
        <v>19</v>
      </c>
      <c r="E16" s="25" t="s">
        <v>18</v>
      </c>
      <c r="F16" s="24">
        <v>37994</v>
      </c>
      <c r="G16" s="23">
        <v>7800000</v>
      </c>
      <c r="H16" s="23">
        <v>8800000</v>
      </c>
      <c r="I16" s="22">
        <v>1000000</v>
      </c>
      <c r="J16" s="21" t="s">
        <v>2</v>
      </c>
      <c r="K16" s="20"/>
    </row>
    <row r="17" spans="2:14" s="19" customFormat="1" x14ac:dyDescent="0.3">
      <c r="B17" s="17">
        <v>11</v>
      </c>
      <c r="C17" s="17">
        <v>118230274</v>
      </c>
      <c r="D17" s="17" t="s">
        <v>17</v>
      </c>
      <c r="E17" s="25" t="s">
        <v>16</v>
      </c>
      <c r="F17" s="24">
        <v>38397</v>
      </c>
      <c r="G17" s="23">
        <v>5460000</v>
      </c>
      <c r="H17" s="23">
        <v>5640000</v>
      </c>
      <c r="I17" s="22">
        <v>180000</v>
      </c>
      <c r="J17" s="21" t="s">
        <v>2</v>
      </c>
      <c r="K17" s="20"/>
    </row>
    <row r="18" spans="2:14" s="19" customFormat="1" x14ac:dyDescent="0.3">
      <c r="B18" s="17">
        <v>12</v>
      </c>
      <c r="C18" s="17">
        <v>123220025</v>
      </c>
      <c r="D18" s="17" t="s">
        <v>15</v>
      </c>
      <c r="E18" s="25" t="s">
        <v>14</v>
      </c>
      <c r="F18" s="24">
        <v>38013</v>
      </c>
      <c r="G18" s="26">
        <v>0</v>
      </c>
      <c r="H18" s="23">
        <v>1824000</v>
      </c>
      <c r="I18" s="22">
        <v>1824000</v>
      </c>
      <c r="J18" s="21" t="s">
        <v>2</v>
      </c>
      <c r="K18" s="20"/>
    </row>
    <row r="19" spans="2:14" s="19" customFormat="1" x14ac:dyDescent="0.3">
      <c r="B19" s="17">
        <v>13</v>
      </c>
      <c r="C19" s="17">
        <v>102210374</v>
      </c>
      <c r="D19" s="17" t="s">
        <v>13</v>
      </c>
      <c r="E19" s="25" t="s">
        <v>12</v>
      </c>
      <c r="F19" s="24">
        <v>37963</v>
      </c>
      <c r="G19" s="23">
        <v>693333</v>
      </c>
      <c r="H19" s="23">
        <v>694000</v>
      </c>
      <c r="I19" s="22">
        <v>667</v>
      </c>
      <c r="J19" s="21" t="s">
        <v>2</v>
      </c>
      <c r="K19" s="20"/>
    </row>
    <row r="20" spans="2:14" s="19" customFormat="1" x14ac:dyDescent="0.3">
      <c r="B20" s="17">
        <v>14</v>
      </c>
      <c r="C20" s="17">
        <v>102230147</v>
      </c>
      <c r="D20" s="17" t="s">
        <v>11</v>
      </c>
      <c r="E20" s="25" t="s">
        <v>10</v>
      </c>
      <c r="F20" s="24">
        <v>38705</v>
      </c>
      <c r="G20" s="23">
        <v>3120000</v>
      </c>
      <c r="H20" s="23">
        <v>3137000</v>
      </c>
      <c r="I20" s="22">
        <v>17000</v>
      </c>
      <c r="J20" s="21" t="s">
        <v>2</v>
      </c>
      <c r="K20" s="20"/>
    </row>
    <row r="21" spans="2:14" s="19" customFormat="1" x14ac:dyDescent="0.3">
      <c r="B21" s="17">
        <v>15</v>
      </c>
      <c r="C21" s="17">
        <v>104210086</v>
      </c>
      <c r="D21" s="17" t="s">
        <v>9</v>
      </c>
      <c r="E21" s="25" t="s">
        <v>8</v>
      </c>
      <c r="F21" s="24">
        <v>37809</v>
      </c>
      <c r="G21" s="23">
        <v>3661667</v>
      </c>
      <c r="H21" s="23">
        <v>3662000</v>
      </c>
      <c r="I21" s="22">
        <v>333</v>
      </c>
      <c r="J21" s="21" t="s">
        <v>2</v>
      </c>
      <c r="K21" s="20"/>
    </row>
    <row r="22" spans="2:14" s="19" customFormat="1" ht="31.2" x14ac:dyDescent="0.3">
      <c r="B22" s="17">
        <v>16</v>
      </c>
      <c r="C22" s="17">
        <v>101220228</v>
      </c>
      <c r="D22" s="17" t="s">
        <v>7</v>
      </c>
      <c r="E22" s="25" t="s">
        <v>6</v>
      </c>
      <c r="F22" s="24">
        <v>38124</v>
      </c>
      <c r="G22" s="26">
        <v>0</v>
      </c>
      <c r="H22" s="23">
        <v>2340000</v>
      </c>
      <c r="I22" s="22">
        <v>2340000</v>
      </c>
      <c r="J22" s="21" t="s">
        <v>5</v>
      </c>
      <c r="K22" s="20"/>
    </row>
    <row r="23" spans="2:14" s="19" customFormat="1" x14ac:dyDescent="0.3">
      <c r="B23" s="17">
        <v>17</v>
      </c>
      <c r="C23" s="17">
        <v>110230082</v>
      </c>
      <c r="D23" s="17" t="s">
        <v>4</v>
      </c>
      <c r="E23" s="25" t="s">
        <v>3</v>
      </c>
      <c r="F23" s="24">
        <v>38503</v>
      </c>
      <c r="G23" s="23">
        <v>2340000</v>
      </c>
      <c r="H23" s="23">
        <v>2350000</v>
      </c>
      <c r="I23" s="22">
        <v>10000</v>
      </c>
      <c r="J23" s="21" t="s">
        <v>2</v>
      </c>
      <c r="K23" s="20"/>
    </row>
    <row r="24" spans="2:14" s="12" customFormat="1" x14ac:dyDescent="0.3">
      <c r="B24" s="18" t="s">
        <v>1</v>
      </c>
      <c r="C24" s="18"/>
      <c r="D24" s="18"/>
      <c r="E24" s="18"/>
      <c r="F24" s="17"/>
      <c r="G24" s="16">
        <f>SUM(G7:G23)</f>
        <v>39585000</v>
      </c>
      <c r="H24" s="15">
        <f>SUM(H7:H23)</f>
        <v>62152000</v>
      </c>
      <c r="I24" s="14">
        <f>SUM(I7:I23)</f>
        <v>22567000</v>
      </c>
      <c r="J24" s="13"/>
    </row>
    <row r="25" spans="2:14" ht="16.8" x14ac:dyDescent="0.3">
      <c r="B25" s="11"/>
      <c r="C25" s="10"/>
      <c r="D25" s="9"/>
      <c r="E25" s="8"/>
      <c r="F25" s="8"/>
      <c r="G25" s="7"/>
      <c r="H25" s="42" t="s">
        <v>0</v>
      </c>
      <c r="I25" s="42"/>
      <c r="J25" s="42"/>
      <c r="K25" s="6"/>
      <c r="L25" s="6"/>
      <c r="M25" s="5"/>
      <c r="N25" s="5"/>
    </row>
    <row r="26" spans="2:14" x14ac:dyDescent="0.3">
      <c r="C26" s="4"/>
      <c r="D26" s="4"/>
      <c r="E26" s="37"/>
      <c r="F26" s="37"/>
      <c r="G26" s="37"/>
      <c r="H26" s="37"/>
      <c r="I26" s="37"/>
      <c r="J26" s="37"/>
      <c r="K26" s="4"/>
      <c r="L26" s="4"/>
    </row>
    <row r="27" spans="2:14" x14ac:dyDescent="0.3">
      <c r="C27" s="4"/>
      <c r="E27" s="4"/>
      <c r="G27" s="4"/>
      <c r="H27" s="37"/>
      <c r="I27" s="37"/>
      <c r="J27" s="37"/>
      <c r="K27" s="4"/>
      <c r="L27" s="4"/>
    </row>
    <row r="28" spans="2:14" x14ac:dyDescent="0.3">
      <c r="K28" s="4"/>
      <c r="L28" s="4"/>
    </row>
    <row r="29" spans="2:14" x14ac:dyDescent="0.3">
      <c r="K29" s="4"/>
      <c r="L29" s="4"/>
    </row>
    <row r="30" spans="2:14" x14ac:dyDescent="0.3">
      <c r="K30" s="4"/>
      <c r="L30" s="4"/>
    </row>
    <row r="31" spans="2:14" x14ac:dyDescent="0.3">
      <c r="K31" s="4"/>
      <c r="L31" s="4"/>
    </row>
    <row r="32" spans="2:14" x14ac:dyDescent="0.3">
      <c r="K32" s="4"/>
      <c r="L32" s="4"/>
    </row>
    <row r="33" spans="3:12" x14ac:dyDescent="0.3">
      <c r="K33" s="4"/>
      <c r="L33" s="4"/>
    </row>
    <row r="34" spans="3:12" x14ac:dyDescent="0.3">
      <c r="K34" s="4"/>
    </row>
    <row r="35" spans="3:12" ht="15.75" customHeight="1" x14ac:dyDescent="0.3">
      <c r="C35" s="4"/>
      <c r="E35" s="37"/>
      <c r="F35" s="37"/>
      <c r="G35" s="37"/>
      <c r="H35" s="37"/>
      <c r="I35" s="37"/>
      <c r="J35" s="37"/>
      <c r="K35" s="4"/>
      <c r="L35" s="4"/>
    </row>
  </sheetData>
  <mergeCells count="10">
    <mergeCell ref="H27:J27"/>
    <mergeCell ref="E35:G35"/>
    <mergeCell ref="H35:J35"/>
    <mergeCell ref="B1:D1"/>
    <mergeCell ref="B2:D2"/>
    <mergeCell ref="B4:O4"/>
    <mergeCell ref="D5:M5"/>
    <mergeCell ref="H25:J25"/>
    <mergeCell ref="E26:G26"/>
    <mergeCell ref="H26:J26"/>
  </mergeCells>
  <conditionalFormatting sqref="C6:C23">
    <cfRule type="duplicateValues" dxfId="4" priority="5"/>
  </conditionalFormatting>
  <conditionalFormatting sqref="C25">
    <cfRule type="duplicateValues" dxfId="3" priority="1"/>
    <cfRule type="duplicateValues" dxfId="2" priority="2"/>
  </conditionalFormatting>
  <conditionalFormatting sqref="C26:C1048576 C1:C3 C6:C23">
    <cfRule type="duplicateValues" dxfId="1" priority="3"/>
    <cfRule type="duplicateValues" dxfId="0" priority="4"/>
  </conditionalFormatting>
  <pageMargins left="0.59055118110236227" right="0.59055118110236227" top="0" bottom="0" header="0.5511811023622047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2</vt:i4>
      </vt:variant>
    </vt:vector>
  </HeadingPairs>
  <TitlesOfParts>
    <vt:vector size="3" baseType="lpstr">
      <vt:lpstr>Hoantien</vt:lpstr>
      <vt:lpstr>Hoantien!Print_Titles</vt:lpstr>
      <vt:lpstr>Hoantien!Vùng_In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Hoàng Minh Tú - P.KHTC</dc:creator>
  <cp:lastModifiedBy>Nguyen Thi Hanh - P.KHTC</cp:lastModifiedBy>
  <dcterms:created xsi:type="dcterms:W3CDTF">2025-10-09T07:55:23Z</dcterms:created>
  <dcterms:modified xsi:type="dcterms:W3CDTF">2025-10-14T07:43:42Z</dcterms:modified>
</cp:coreProperties>
</file>